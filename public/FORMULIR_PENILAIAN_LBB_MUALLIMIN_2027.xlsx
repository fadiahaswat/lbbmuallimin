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ilaian SD-MI" state="visible" r:id="rId4"/>
    <sheet sheetId="2" name="Penilaian SMP-MTs" state="visible" r:id="rId5"/>
    <sheet sheetId="3" name="Rekapitulasi Juara" state="visible" r:id="rId6"/>
  </sheets>
  <calcPr calcId="171027"/>
</workbook>
</file>

<file path=xl/sharedStrings.xml><?xml version="1.0" encoding="utf-8"?>
<sst xmlns="http://schemas.openxmlformats.org/spreadsheetml/2006/main" count="231" uniqueCount="123">
  <si>
    <t>FORMULIR PENILAIAN DEWAN JURI</t>
  </si>
  <si>
    <t>LOMBA BARIS - BERBARIS MU'ALLIMIN 2027</t>
  </si>
  <si>
    <t>FORMULIR PENILAIAN TINGKAT SD / MI SEDERAJAT (Arena 25m x 14m - Waktu 10 Menit)</t>
  </si>
  <si>
    <t>NAMA JURI:</t>
  </si>
  <si>
    <t>.......................................................</t>
  </si>
  <si>
    <t>NO. UNDI / TAMPIL:</t>
  </si>
  <si>
    <t>[    ]</t>
  </si>
  <si>
    <t>NAMA SEKOLAH:</t>
  </si>
  <si>
    <t>NO</t>
  </si>
  <si>
    <t>MATERI GERAKAN LOMBA</t>
  </si>
  <si>
    <t>PREDIKAT &amp; PILIHAN NILAI (K - C - B - BS)</t>
  </si>
  <si>
    <t>NILAI JURI</t>
  </si>
  <si>
    <t>NILAI MAX</t>
  </si>
  <si>
    <t>KATEGORI BOBOT</t>
  </si>
  <si>
    <t/>
  </si>
  <si>
    <t>K (Kurang)</t>
  </si>
  <si>
    <t>C (Cukup)</t>
  </si>
  <si>
    <t>B (Baik)</t>
  </si>
  <si>
    <t>BS</t>
  </si>
  <si>
    <t>(Diisi Juri)</t>
  </si>
  <si>
    <t>Penghormatan Dewan Juri(Aba-aba Pelaksanaan Waktu Dimulai) – Laporan Pembuka</t>
  </si>
  <si>
    <t>DITEMPAT</t>
  </si>
  <si>
    <t>Istirahat Di Tempat(Parade)</t>
  </si>
  <si>
    <t>Periksa Kerapian(Parade) – Sikap Sempurna</t>
  </si>
  <si>
    <t>KERAPIAN PARADE</t>
  </si>
  <si>
    <t>Setengah Lengan Lencang Kanan – Tegak</t>
  </si>
  <si>
    <t>Lencang Kanan – Tegak</t>
  </si>
  <si>
    <t>Hitung(Bersaf)</t>
  </si>
  <si>
    <t>Hadap Kanan</t>
  </si>
  <si>
    <t>Lencang Depan – Tegak</t>
  </si>
  <si>
    <t>Hitung(Berbanjar)</t>
  </si>
  <si>
    <t>Buka Barisan – Tutup Barisan</t>
  </si>
  <si>
    <t>Jalan Di Tempat</t>
  </si>
  <si>
    <t>Hadap Kiri Jalan Di Tempat</t>
  </si>
  <si>
    <t>Hadap Serong Kanan Jalan Di Tempat</t>
  </si>
  <si>
    <t>Balik Kanan Jalan Di Tempat</t>
  </si>
  <si>
    <t>Hadap Serong Kiri Jalan Di Tempat – Henti</t>
  </si>
  <si>
    <t>3 Langkah Ke Kiri – Balik Kanan</t>
  </si>
  <si>
    <t>BERPINDAH</t>
  </si>
  <si>
    <t>4 Langkah Ke Kanan</t>
  </si>
  <si>
    <t>3 Langkah Ke Depan(Dari Posisi Jalan Di Tempat) – Balik Kanan Jalan Di Tempat</t>
  </si>
  <si>
    <t>4 Langkah Ke Belakang(Dari Posisi Jalan Di Tempat) – Henti</t>
  </si>
  <si>
    <t>Maju Jalan – Tiap-tiap Banjar 2X Belok Kiri</t>
  </si>
  <si>
    <t>BERJALAN KOMPLEKS</t>
  </si>
  <si>
    <t>Langkah Tegap(Dari Posisi Langkah Biasa)</t>
  </si>
  <si>
    <t>BERJALAN</t>
  </si>
  <si>
    <t>Hormat Kanan – Tegak – Jalan Di Tempat – Henti</t>
  </si>
  <si>
    <t>Tiap-tiap Banjar 2X Belok Kanan Maju(Dari Posisi Berhenti) – Henti</t>
  </si>
  <si>
    <t>Melintang Kanan(Berhenti ke Berhenti) – Henti – Balik Kanan</t>
  </si>
  <si>
    <t>Maju Jalan – Haluan Kanan(Berjalan ke Berhenti) – Henti</t>
  </si>
  <si>
    <t>Laporan Penutup – Penghormatan Dewan Juri(Aba-aba Pelaksanaan Waktu Berakhir)</t>
  </si>
  <si>
    <t>SUBTOTAL NILAI MATERI PASUKAN (A - D)</t>
  </si>
  <si>
    <t>E. PENILAIAN KOMANDAN PASUKAN (DANTON)</t>
  </si>
  <si>
    <t>Sikap Tampang &amp; Sikap Sempurna</t>
  </si>
  <si>
    <t>Standar Danton</t>
  </si>
  <si>
    <t>Penguasaan Materi Gerakan</t>
  </si>
  <si>
    <t>Penguasaan &amp; Penempatan Lapangan</t>
  </si>
  <si>
    <t>IKIT (Intonasi, Ketepatan Irama &amp; Tempo)</t>
  </si>
  <si>
    <t>Vokal &amp; Irama (Bobot Tinggi)</t>
  </si>
  <si>
    <t>Volume &amp; Artikulasi Suara</t>
  </si>
  <si>
    <t>SUBTOTAL NILAI KOMANDAN PASUKAN (E)</t>
  </si>
  <si>
    <t>TOTAL NILAI AKUMULASI (PASUKAN + DANTON)</t>
  </si>
  <si>
    <t>FORMULIR PENILAIAN TINGKAT SMP / MTs SEDERAJAT (Arena 26m x 15m - Waktu 13 Menit)</t>
  </si>
  <si>
    <t>Bubar – Berhimpun</t>
  </si>
  <si>
    <t>BUBAR BERKUMPUL</t>
  </si>
  <si>
    <t>Berkumpul Berbanjar – Langkah Biasa(Dari Posisi Berhenti)</t>
  </si>
  <si>
    <t>Melintang Kanan(Berjalan ke Berjalan) – Langkah Biasa – Balik Kanan Henti</t>
  </si>
  <si>
    <t>Jalan Di Tempat – Langkah Tegap – Haluan Kanan(Berjalan ke Berjalan) – Langkah Biasa – Henti)</t>
  </si>
  <si>
    <t>Hadap Kiri Maju(Dari Posisi Berhenti) – Tiap-tiap Banjar 2X Belok Kanan – Balik Kanan Maju</t>
  </si>
  <si>
    <t>Ganti Langkah – 2X Belok Kiri</t>
  </si>
  <si>
    <t>Lari(Dari Langkah Biasa) – 2X Belok Kanan</t>
  </si>
  <si>
    <t>Langkah Biasa – Tiap-tiap Banjar 2X Belok Kanan – Hadap Serong Kiri Henti</t>
  </si>
  <si>
    <t>Lari(Dari Posisi Berhenti) – Balik Kanan Lari Maju – Hadap Kiri Henti</t>
  </si>
  <si>
    <t>Hadap Serong Kiri Maju – 2X Belok Kiri</t>
  </si>
  <si>
    <t>Langkah Tegap – Hormat Kanan</t>
  </si>
  <si>
    <t>Tiap-tiap Banjar 2X Belok Kiri(Dari Langkah Tegap) – Langkah Biasa</t>
  </si>
  <si>
    <t>Langkah Perlahan(Dari Langkah Biasa) – Henti</t>
  </si>
  <si>
    <t>Tiap-tiap Banjar 2X Belok Kanan Maju – 3 Langkah Ke Kanan</t>
  </si>
  <si>
    <t>Balik Kanan Maju – Hadap Kiri Henti</t>
  </si>
  <si>
    <t>Bubar – Berkumpul Bersaf</t>
  </si>
  <si>
    <t>Jalan Di Tempat – Hadap Serong Kiri(Jalan Di Tempat)– 3 Langkah Ke Depan</t>
  </si>
  <si>
    <t>Hadap Kanan(Jalan Di Tempat) – 2 Langkah Ke Kanan – Balik Kanan(Jalan Di Tempat)</t>
  </si>
  <si>
    <t>Hadap Serong Kanan(Jalan Di Tempat) – Balik Kanan Henti</t>
  </si>
  <si>
    <t>Lencang Depan – Hitung(Berbanjar) – Hadap Kanan</t>
  </si>
  <si>
    <t>Setengah Lengan Lencang Kiri – Lencang Kiri – Hitung(Bersaf) – Balik Kanan</t>
  </si>
  <si>
    <t>Istirahat Di Tempat(Parade) – Periksa Kerapian(Parade)– Sikap Sempurna</t>
  </si>
  <si>
    <t>REKAPITULASI HASIL PENILAIAN DEWAN JURI &amp; KLASEMEN RESMI</t>
  </si>
  <si>
    <t>LBB MU'ALLIMIN 2027 • Sabtu, 24 Januari 2027 • Kampus Terpadu Madrasah Mu’allimin</t>
  </si>
  <si>
    <t>PERINGKAT</t>
  </si>
  <si>
    <t>NO. UNDI</t>
  </si>
  <si>
    <t>NAMA SEKOLAH / PELETON</t>
  </si>
  <si>
    <t>JENJANG</t>
  </si>
  <si>
    <t>SKOR PASUKAN</t>
  </si>
  <si>
    <t>SKOR DANTON</t>
  </si>
  <si>
    <t>PENALTI (-)</t>
  </si>
  <si>
    <t>SKOR AKHIR</t>
  </si>
  <si>
    <t>STATUS JUARA</t>
  </si>
  <si>
    <t>01</t>
  </si>
  <si>
    <t>Contoh Peleton Sekolah 1</t>
  </si>
  <si>
    <t>SMP</t>
  </si>
  <si>
    <t>Juara 1 Umum</t>
  </si>
  <si>
    <t>02</t>
  </si>
  <si>
    <t>Contoh Peleton Sekolah 2</t>
  </si>
  <si>
    <t>SD</t>
  </si>
  <si>
    <t>Juara 2</t>
  </si>
  <si>
    <t>03</t>
  </si>
  <si>
    <t>Contoh Peleton Sekolah 3</t>
  </si>
  <si>
    <t>Juara 3</t>
  </si>
  <si>
    <t>04</t>
  </si>
  <si>
    <t>Contoh Peleton Sekolah 4</t>
  </si>
  <si>
    <t>-</t>
  </si>
  <si>
    <t>05</t>
  </si>
  <si>
    <t>Contoh Peleton Sekolah 5</t>
  </si>
  <si>
    <t>06</t>
  </si>
  <si>
    <t>Contoh Peleton Sekolah 6</t>
  </si>
  <si>
    <t>07</t>
  </si>
  <si>
    <t>Contoh Peleton Sekolah 7</t>
  </si>
  <si>
    <t>08</t>
  </si>
  <si>
    <t>Contoh Peleton Sekolah 8</t>
  </si>
  <si>
    <t>09</t>
  </si>
  <si>
    <t>Contoh Peleton Sekolah 9</t>
  </si>
  <si>
    <t>10</t>
  </si>
  <si>
    <t>Contoh Peleton Sekolah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</si>
</sst>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991B1B"/>
      <sz val="14"/>
    </font>
    <font>
      <b/>
      <color rgb="FF1E293B"/>
      <sz val="16"/>
    </font>
    <font>
      <b/>
      <color rgb="FF475569"/>
      <sz val="11"/>
    </font>
    <font>
      <b/>
      <sz val="10"/>
    </font>
    <font>
      <b/>
      <color rgb="FFFFFFFF"/>
      <sz val="10"/>
    </font>
    <font>
      <b/>
      <sz val="9"/>
    </font>
    <font>
      <i/>
      <color rgb="FF64748B"/>
      <sz val="9"/>
    </font>
    <font>
      <color rgb="FF334155"/>
      <sz val="9"/>
      <name val="Arial"/>
    </font>
    <font>
      <b/>
      <color rgb="FF1D4ED8"/>
      <sz val="10"/>
    </font>
    <font>
      <b/>
      <color rgb="FF64748B"/>
      <sz val="9"/>
    </font>
    <font>
      <color rgb="FF64748B"/>
      <sz val="8"/>
    </font>
    <font>
      <b/>
      <color rgb="FF1E293B"/>
      <sz val="10"/>
    </font>
    <font>
      <b/>
      <color rgb="FF1D4ED8"/>
      <sz val="11"/>
    </font>
    <font>
      <b/>
      <color rgb="FF475569"/>
      <sz val="10"/>
    </font>
    <font>
      <b/>
      <color rgb="FFB91C1C"/>
      <sz val="10"/>
    </font>
    <font>
      <b/>
      <color rgb="FFB91C1C"/>
      <sz val="11"/>
    </font>
    <font>
      <b/>
      <color rgb="FFFFFFFF"/>
      <sz val="11"/>
    </font>
    <font>
      <b/>
      <color rgb="FFFFFFFF"/>
      <sz val="13"/>
    </font>
    <font>
      <b/>
      <color rgb="FF1E293B"/>
      <sz val="14"/>
    </font>
    <font>
      <b/>
      <color rgb="FF64748B"/>
      <sz val="10"/>
    </font>
    <font>
      <b/>
      <color rgb="FFFFFFFF"/>
      <sz val="9"/>
    </font>
    <font>
      <b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DE68A"/>
      </patternFill>
    </fill>
    <fill>
      <patternFill patternType="solid">
        <fgColor rgb="FFBFDBFE"/>
      </patternFill>
    </fill>
    <fill>
      <patternFill patternType="solid">
        <fgColor rgb="FFA7F3D0"/>
      </patternFill>
    </fill>
    <fill>
      <patternFill patternType="solid">
        <fgColor rgb="FFDDD6FE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FFFECACA"/>
      </patternFill>
    </fill>
    <fill>
      <patternFill patternType="solid">
        <fgColor rgb="FF047857"/>
      </patternFill>
    </fill>
    <fill>
      <patternFill patternType="solid">
        <fgColor rgb="FF05966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3" fillId="8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15" fillId="10" borderId="1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right" vertical="center"/>
    </xf>
    <xf numFmtId="0" fontId="18" fillId="13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9" width="5.5" customWidth="1"/>
    <col min="10" max="10" width="14" customWidth="1"/>
    <col min="11" max="11" width="12" customWidth="1"/>
    <col min="12" max="12" width="24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2" customHeight="1" spans="1:12" x14ac:dyDescent="0.25">
      <c r="A5" s="4" t="s">
        <v>3</v>
      </c>
      <c r="B5" t="s">
        <v>4</v>
      </c>
      <c r="C5"/>
      <c r="D5"/>
      <c r="F5" s="4" t="s">
        <v>5</v>
      </c>
      <c r="G5" s="5" t="s">
        <v>6</v>
      </c>
      <c r="H5" s="5"/>
      <c r="J5" s="4" t="s">
        <v>7</v>
      </c>
      <c r="K5" t="s">
        <v>4</v>
      </c>
      <c r="L5"/>
    </row>
    <row r="7" ht="28" customHeight="1" spans="1:12" x14ac:dyDescent="0.25">
      <c r="A7" s="6" t="s">
        <v>8</v>
      </c>
      <c r="B7" s="6" t="s">
        <v>9</v>
      </c>
      <c r="C7" s="6" t="s">
        <v>10</v>
      </c>
      <c r="D7" s="6"/>
      <c r="E7" s="6"/>
      <c r="F7" s="6"/>
      <c r="G7" s="6"/>
      <c r="H7" s="6"/>
      <c r="I7" s="6"/>
      <c r="J7" s="6" t="s">
        <v>11</v>
      </c>
      <c r="K7" s="6" t="s">
        <v>12</v>
      </c>
      <c r="L7" s="6" t="s">
        <v>13</v>
      </c>
    </row>
    <row r="8" ht="20" customHeight="1" spans="1:12" x14ac:dyDescent="0.25">
      <c r="A8" t="s">
        <v>14</v>
      </c>
      <c r="B8" t="s">
        <v>14</v>
      </c>
      <c r="C8" s="7" t="s">
        <v>15</v>
      </c>
      <c r="D8" s="7"/>
      <c r="E8" s="8" t="s">
        <v>16</v>
      </c>
      <c r="F8" s="8"/>
      <c r="G8" s="9" t="s">
        <v>17</v>
      </c>
      <c r="H8" s="9"/>
      <c r="I8" s="10" t="s">
        <v>18</v>
      </c>
      <c r="J8" s="11" t="s">
        <v>19</v>
      </c>
      <c r="K8" t="s">
        <v>14</v>
      </c>
      <c r="L8" t="s">
        <v>14</v>
      </c>
    </row>
    <row r="9" ht="20" customHeight="1" spans="1:12" x14ac:dyDescent="0.25">
      <c r="A9" s="12">
        <v>1</v>
      </c>
      <c r="B9" s="13" t="s">
        <v>20</v>
      </c>
      <c r="C9" s="14">
        <v>4</v>
      </c>
      <c r="D9" s="14">
        <v>5</v>
      </c>
      <c r="E9" s="14">
        <v>6</v>
      </c>
      <c r="F9" s="14">
        <v>7</v>
      </c>
      <c r="G9" s="14">
        <v>8</v>
      </c>
      <c r="H9" s="14">
        <v>9</v>
      </c>
      <c r="I9" s="14">
        <v>10</v>
      </c>
      <c r="J9" s="15">
        <v>8</v>
      </c>
      <c r="K9" s="16">
        <v>10</v>
      </c>
      <c r="L9" s="17" t="s">
        <v>21</v>
      </c>
    </row>
    <row r="10" ht="20" customHeight="1" spans="1:12" x14ac:dyDescent="0.25">
      <c r="A10" s="12">
        <v>2</v>
      </c>
      <c r="B10" s="13" t="s">
        <v>22</v>
      </c>
      <c r="C10" s="14">
        <v>4</v>
      </c>
      <c r="D10" s="14">
        <v>5</v>
      </c>
      <c r="E10" s="14">
        <v>6</v>
      </c>
      <c r="F10" s="14">
        <v>7</v>
      </c>
      <c r="G10" s="14">
        <v>8</v>
      </c>
      <c r="H10" s="14">
        <v>9</v>
      </c>
      <c r="I10" s="14">
        <v>10</v>
      </c>
      <c r="J10" s="15">
        <v>8</v>
      </c>
      <c r="K10" s="16">
        <v>10</v>
      </c>
      <c r="L10" s="17" t="s">
        <v>21</v>
      </c>
    </row>
    <row r="11" ht="20" customHeight="1" spans="1:12" x14ac:dyDescent="0.25">
      <c r="A11" s="12">
        <v>3</v>
      </c>
      <c r="B11" s="13" t="s">
        <v>23</v>
      </c>
      <c r="C11" s="14">
        <v>12</v>
      </c>
      <c r="D11" s="14">
        <v>15</v>
      </c>
      <c r="E11" s="14">
        <v>18</v>
      </c>
      <c r="F11" s="14">
        <v>21</v>
      </c>
      <c r="G11" s="14">
        <v>24</v>
      </c>
      <c r="H11" s="14">
        <v>27</v>
      </c>
      <c r="I11" s="14">
        <v>30</v>
      </c>
      <c r="J11" s="15">
        <v>24</v>
      </c>
      <c r="K11" s="16">
        <v>30</v>
      </c>
      <c r="L11" s="17" t="s">
        <v>24</v>
      </c>
    </row>
    <row r="12" ht="20" customHeight="1" spans="1:12" x14ac:dyDescent="0.25">
      <c r="A12" s="12">
        <v>4</v>
      </c>
      <c r="B12" s="13" t="s">
        <v>25</v>
      </c>
      <c r="C12" s="14">
        <v>4</v>
      </c>
      <c r="D12" s="14">
        <v>5</v>
      </c>
      <c r="E12" s="14">
        <v>6</v>
      </c>
      <c r="F12" s="14">
        <v>7</v>
      </c>
      <c r="G12" s="14">
        <v>8</v>
      </c>
      <c r="H12" s="14">
        <v>9</v>
      </c>
      <c r="I12" s="14">
        <v>10</v>
      </c>
      <c r="J12" s="15">
        <v>8</v>
      </c>
      <c r="K12" s="16">
        <v>10</v>
      </c>
      <c r="L12" s="17" t="s">
        <v>21</v>
      </c>
    </row>
    <row r="13" ht="20" customHeight="1" spans="1:12" x14ac:dyDescent="0.25">
      <c r="A13" s="12">
        <v>5</v>
      </c>
      <c r="B13" s="13" t="s">
        <v>26</v>
      </c>
      <c r="C13" s="14">
        <v>4</v>
      </c>
      <c r="D13" s="14">
        <v>5</v>
      </c>
      <c r="E13" s="14">
        <v>6</v>
      </c>
      <c r="F13" s="14">
        <v>7</v>
      </c>
      <c r="G13" s="14">
        <v>8</v>
      </c>
      <c r="H13" s="14">
        <v>9</v>
      </c>
      <c r="I13" s="14">
        <v>10</v>
      </c>
      <c r="J13" s="15">
        <v>8</v>
      </c>
      <c r="K13" s="16">
        <v>10</v>
      </c>
      <c r="L13" s="17" t="s">
        <v>21</v>
      </c>
    </row>
    <row r="14" ht="20" customHeight="1" spans="1:12" x14ac:dyDescent="0.25">
      <c r="A14" s="12">
        <v>6</v>
      </c>
      <c r="B14" s="13" t="s">
        <v>27</v>
      </c>
      <c r="C14" s="14">
        <v>4</v>
      </c>
      <c r="D14" s="14">
        <v>5</v>
      </c>
      <c r="E14" s="14">
        <v>6</v>
      </c>
      <c r="F14" s="14">
        <v>7</v>
      </c>
      <c r="G14" s="14">
        <v>8</v>
      </c>
      <c r="H14" s="14">
        <v>9</v>
      </c>
      <c r="I14" s="14">
        <v>10</v>
      </c>
      <c r="J14" s="15">
        <v>8</v>
      </c>
      <c r="K14" s="16">
        <v>10</v>
      </c>
      <c r="L14" s="17" t="s">
        <v>21</v>
      </c>
    </row>
    <row r="15" ht="20" customHeight="1" spans="1:12" x14ac:dyDescent="0.25">
      <c r="A15" s="12">
        <v>7</v>
      </c>
      <c r="B15" s="13" t="s">
        <v>28</v>
      </c>
      <c r="C15" s="14">
        <v>4</v>
      </c>
      <c r="D15" s="14">
        <v>5</v>
      </c>
      <c r="E15" s="14">
        <v>6</v>
      </c>
      <c r="F15" s="14">
        <v>7</v>
      </c>
      <c r="G15" s="14">
        <v>8</v>
      </c>
      <c r="H15" s="14">
        <v>9</v>
      </c>
      <c r="I15" s="14">
        <v>10</v>
      </c>
      <c r="J15" s="15">
        <v>8</v>
      </c>
      <c r="K15" s="16">
        <v>10</v>
      </c>
      <c r="L15" s="17" t="s">
        <v>21</v>
      </c>
    </row>
    <row r="16" ht="20" customHeight="1" spans="1:12" x14ac:dyDescent="0.25">
      <c r="A16" s="12">
        <v>8</v>
      </c>
      <c r="B16" s="13" t="s">
        <v>29</v>
      </c>
      <c r="C16" s="14">
        <v>4</v>
      </c>
      <c r="D16" s="14">
        <v>5</v>
      </c>
      <c r="E16" s="14">
        <v>6</v>
      </c>
      <c r="F16" s="14">
        <v>7</v>
      </c>
      <c r="G16" s="14">
        <v>8</v>
      </c>
      <c r="H16" s="14">
        <v>9</v>
      </c>
      <c r="I16" s="14">
        <v>10</v>
      </c>
      <c r="J16" s="15">
        <v>8</v>
      </c>
      <c r="K16" s="16">
        <v>10</v>
      </c>
      <c r="L16" s="17" t="s">
        <v>21</v>
      </c>
    </row>
    <row r="17" ht="20" customHeight="1" spans="1:12" x14ac:dyDescent="0.25">
      <c r="A17" s="12">
        <v>9</v>
      </c>
      <c r="B17" s="13" t="s">
        <v>30</v>
      </c>
      <c r="C17" s="14">
        <v>4</v>
      </c>
      <c r="D17" s="14">
        <v>5</v>
      </c>
      <c r="E17" s="14">
        <v>6</v>
      </c>
      <c r="F17" s="14">
        <v>7</v>
      </c>
      <c r="G17" s="14">
        <v>8</v>
      </c>
      <c r="H17" s="14">
        <v>9</v>
      </c>
      <c r="I17" s="14">
        <v>10</v>
      </c>
      <c r="J17" s="15">
        <v>8</v>
      </c>
      <c r="K17" s="16">
        <v>10</v>
      </c>
      <c r="L17" s="17" t="s">
        <v>21</v>
      </c>
    </row>
    <row r="18" ht="20" customHeight="1" spans="1:12" x14ac:dyDescent="0.25">
      <c r="A18" s="12">
        <v>10</v>
      </c>
      <c r="B18" s="13" t="s">
        <v>31</v>
      </c>
      <c r="C18" s="14">
        <v>4</v>
      </c>
      <c r="D18" s="14">
        <v>5</v>
      </c>
      <c r="E18" s="14">
        <v>6</v>
      </c>
      <c r="F18" s="14">
        <v>7</v>
      </c>
      <c r="G18" s="14">
        <v>8</v>
      </c>
      <c r="H18" s="14">
        <v>9</v>
      </c>
      <c r="I18" s="14">
        <v>10</v>
      </c>
      <c r="J18" s="15">
        <v>8</v>
      </c>
      <c r="K18" s="16">
        <v>10</v>
      </c>
      <c r="L18" s="17" t="s">
        <v>21</v>
      </c>
    </row>
    <row r="19" ht="20" customHeight="1" spans="1:12" x14ac:dyDescent="0.25">
      <c r="A19" s="12">
        <v>11</v>
      </c>
      <c r="B19" s="13" t="s">
        <v>32</v>
      </c>
      <c r="C19" s="14">
        <v>4</v>
      </c>
      <c r="D19" s="14">
        <v>5</v>
      </c>
      <c r="E19" s="14">
        <v>6</v>
      </c>
      <c r="F19" s="14">
        <v>7</v>
      </c>
      <c r="G19" s="14">
        <v>8</v>
      </c>
      <c r="H19" s="14">
        <v>9</v>
      </c>
      <c r="I19" s="14">
        <v>10</v>
      </c>
      <c r="J19" s="15">
        <v>8</v>
      </c>
      <c r="K19" s="16">
        <v>10</v>
      </c>
      <c r="L19" s="17" t="s">
        <v>21</v>
      </c>
    </row>
    <row r="20" ht="20" customHeight="1" spans="1:12" x14ac:dyDescent="0.25">
      <c r="A20" s="12">
        <v>12</v>
      </c>
      <c r="B20" s="13" t="s">
        <v>33</v>
      </c>
      <c r="C20" s="14">
        <v>4</v>
      </c>
      <c r="D20" s="14">
        <v>5</v>
      </c>
      <c r="E20" s="14">
        <v>6</v>
      </c>
      <c r="F20" s="14">
        <v>7</v>
      </c>
      <c r="G20" s="14">
        <v>8</v>
      </c>
      <c r="H20" s="14">
        <v>9</v>
      </c>
      <c r="I20" s="14">
        <v>10</v>
      </c>
      <c r="J20" s="15">
        <v>8</v>
      </c>
      <c r="K20" s="16">
        <v>10</v>
      </c>
      <c r="L20" s="17" t="s">
        <v>21</v>
      </c>
    </row>
    <row r="21" ht="20" customHeight="1" spans="1:12" x14ac:dyDescent="0.25">
      <c r="A21" s="12">
        <v>13</v>
      </c>
      <c r="B21" s="13" t="s">
        <v>34</v>
      </c>
      <c r="C21" s="14">
        <v>4</v>
      </c>
      <c r="D21" s="14">
        <v>5</v>
      </c>
      <c r="E21" s="14">
        <v>6</v>
      </c>
      <c r="F21" s="14">
        <v>7</v>
      </c>
      <c r="G21" s="14">
        <v>8</v>
      </c>
      <c r="H21" s="14">
        <v>9</v>
      </c>
      <c r="I21" s="14">
        <v>10</v>
      </c>
      <c r="J21" s="15">
        <v>8</v>
      </c>
      <c r="K21" s="16">
        <v>10</v>
      </c>
      <c r="L21" s="17" t="s">
        <v>21</v>
      </c>
    </row>
    <row r="22" ht="20" customHeight="1" spans="1:12" x14ac:dyDescent="0.25">
      <c r="A22" s="12">
        <v>14</v>
      </c>
      <c r="B22" s="13" t="s">
        <v>35</v>
      </c>
      <c r="C22" s="14">
        <v>4</v>
      </c>
      <c r="D22" s="14">
        <v>5</v>
      </c>
      <c r="E22" s="14">
        <v>6</v>
      </c>
      <c r="F22" s="14">
        <v>7</v>
      </c>
      <c r="G22" s="14">
        <v>8</v>
      </c>
      <c r="H22" s="14">
        <v>9</v>
      </c>
      <c r="I22" s="14">
        <v>10</v>
      </c>
      <c r="J22" s="15">
        <v>8</v>
      </c>
      <c r="K22" s="16">
        <v>10</v>
      </c>
      <c r="L22" s="17" t="s">
        <v>21</v>
      </c>
    </row>
    <row r="23" ht="20" customHeight="1" spans="1:12" x14ac:dyDescent="0.25">
      <c r="A23" s="12">
        <v>15</v>
      </c>
      <c r="B23" s="13" t="s">
        <v>36</v>
      </c>
      <c r="C23" s="14">
        <v>4</v>
      </c>
      <c r="D23" s="14">
        <v>5</v>
      </c>
      <c r="E23" s="14">
        <v>6</v>
      </c>
      <c r="F23" s="14">
        <v>7</v>
      </c>
      <c r="G23" s="14">
        <v>8</v>
      </c>
      <c r="H23" s="14">
        <v>9</v>
      </c>
      <c r="I23" s="14">
        <v>10</v>
      </c>
      <c r="J23" s="15">
        <v>8</v>
      </c>
      <c r="K23" s="16">
        <v>10</v>
      </c>
      <c r="L23" s="17" t="s">
        <v>21</v>
      </c>
    </row>
    <row r="24" ht="20" customHeight="1" spans="1:12" x14ac:dyDescent="0.25">
      <c r="A24" s="12">
        <v>16</v>
      </c>
      <c r="B24" s="13" t="s">
        <v>37</v>
      </c>
      <c r="C24" s="14">
        <v>8</v>
      </c>
      <c r="D24" s="14">
        <v>10</v>
      </c>
      <c r="E24" s="14">
        <v>12</v>
      </c>
      <c r="F24" s="14">
        <v>14</v>
      </c>
      <c r="G24" s="14">
        <v>16</v>
      </c>
      <c r="H24" s="14">
        <v>18</v>
      </c>
      <c r="I24" s="14">
        <v>19</v>
      </c>
      <c r="J24" s="15">
        <v>16</v>
      </c>
      <c r="K24" s="16">
        <v>19</v>
      </c>
      <c r="L24" s="17" t="s">
        <v>38</v>
      </c>
    </row>
    <row r="25" ht="20" customHeight="1" spans="1:12" x14ac:dyDescent="0.25">
      <c r="A25" s="12">
        <v>17</v>
      </c>
      <c r="B25" s="13" t="s">
        <v>39</v>
      </c>
      <c r="C25" s="14">
        <v>8</v>
      </c>
      <c r="D25" s="14">
        <v>10</v>
      </c>
      <c r="E25" s="14">
        <v>12</v>
      </c>
      <c r="F25" s="14">
        <v>14</v>
      </c>
      <c r="G25" s="14">
        <v>16</v>
      </c>
      <c r="H25" s="14">
        <v>18</v>
      </c>
      <c r="I25" s="14">
        <v>19</v>
      </c>
      <c r="J25" s="15">
        <v>16</v>
      </c>
      <c r="K25" s="16">
        <v>19</v>
      </c>
      <c r="L25" s="17" t="s">
        <v>38</v>
      </c>
    </row>
    <row r="26" ht="20" customHeight="1" spans="1:12" x14ac:dyDescent="0.25">
      <c r="A26" s="12">
        <v>18</v>
      </c>
      <c r="B26" s="13" t="s">
        <v>33</v>
      </c>
      <c r="C26" s="14">
        <v>4</v>
      </c>
      <c r="D26" s="14">
        <v>5</v>
      </c>
      <c r="E26" s="14">
        <v>6</v>
      </c>
      <c r="F26" s="14">
        <v>7</v>
      </c>
      <c r="G26" s="14">
        <v>8</v>
      </c>
      <c r="H26" s="14">
        <v>9</v>
      </c>
      <c r="I26" s="14">
        <v>10</v>
      </c>
      <c r="J26" s="15">
        <v>8</v>
      </c>
      <c r="K26" s="16">
        <v>10</v>
      </c>
      <c r="L26" s="17" t="s">
        <v>21</v>
      </c>
    </row>
    <row r="27" ht="20" customHeight="1" spans="1:12" x14ac:dyDescent="0.25">
      <c r="A27" s="12">
        <v>19</v>
      </c>
      <c r="B27" s="13" t="s">
        <v>40</v>
      </c>
      <c r="C27" s="14">
        <v>8</v>
      </c>
      <c r="D27" s="14">
        <v>10</v>
      </c>
      <c r="E27" s="14">
        <v>12</v>
      </c>
      <c r="F27" s="14">
        <v>14</v>
      </c>
      <c r="G27" s="14">
        <v>16</v>
      </c>
      <c r="H27" s="14">
        <v>18</v>
      </c>
      <c r="I27" s="14">
        <v>19</v>
      </c>
      <c r="J27" s="15">
        <v>16</v>
      </c>
      <c r="K27" s="16">
        <v>19</v>
      </c>
      <c r="L27" s="17" t="s">
        <v>38</v>
      </c>
    </row>
    <row r="28" ht="20" customHeight="1" spans="1:12" x14ac:dyDescent="0.25">
      <c r="A28" s="12">
        <v>20</v>
      </c>
      <c r="B28" s="13" t="s">
        <v>41</v>
      </c>
      <c r="C28" s="14">
        <v>8</v>
      </c>
      <c r="D28" s="14">
        <v>10</v>
      </c>
      <c r="E28" s="14">
        <v>12</v>
      </c>
      <c r="F28" s="14">
        <v>14</v>
      </c>
      <c r="G28" s="14">
        <v>16</v>
      </c>
      <c r="H28" s="14">
        <v>18</v>
      </c>
      <c r="I28" s="14">
        <v>19</v>
      </c>
      <c r="J28" s="15">
        <v>16</v>
      </c>
      <c r="K28" s="16">
        <v>19</v>
      </c>
      <c r="L28" s="17" t="s">
        <v>38</v>
      </c>
    </row>
    <row r="29" ht="20" customHeight="1" spans="1:12" x14ac:dyDescent="0.25">
      <c r="A29" s="12">
        <v>21</v>
      </c>
      <c r="B29" s="13" t="s">
        <v>42</v>
      </c>
      <c r="C29" s="14">
        <v>12</v>
      </c>
      <c r="D29" s="14">
        <v>15</v>
      </c>
      <c r="E29" s="14">
        <v>18</v>
      </c>
      <c r="F29" s="14">
        <v>21</v>
      </c>
      <c r="G29" s="14">
        <v>24</v>
      </c>
      <c r="H29" s="14">
        <v>27</v>
      </c>
      <c r="I29" s="14">
        <v>29</v>
      </c>
      <c r="J29" s="15">
        <v>24</v>
      </c>
      <c r="K29" s="16">
        <v>29</v>
      </c>
      <c r="L29" s="17" t="s">
        <v>43</v>
      </c>
    </row>
    <row r="30" ht="20" customHeight="1" spans="1:12" x14ac:dyDescent="0.25">
      <c r="A30" s="12">
        <v>22</v>
      </c>
      <c r="B30" s="13" t="s">
        <v>44</v>
      </c>
      <c r="C30" s="14">
        <v>10</v>
      </c>
      <c r="D30" s="14">
        <v>13</v>
      </c>
      <c r="E30" s="14">
        <v>16</v>
      </c>
      <c r="F30" s="14">
        <v>19</v>
      </c>
      <c r="G30" s="14">
        <v>22</v>
      </c>
      <c r="H30" s="14">
        <v>25</v>
      </c>
      <c r="I30" s="14">
        <v>27</v>
      </c>
      <c r="J30" s="15">
        <v>22</v>
      </c>
      <c r="K30" s="16">
        <v>27</v>
      </c>
      <c r="L30" s="17" t="s">
        <v>45</v>
      </c>
    </row>
    <row r="31" ht="20" customHeight="1" spans="1:12" x14ac:dyDescent="0.25">
      <c r="A31" s="12">
        <v>23</v>
      </c>
      <c r="B31" s="13" t="s">
        <v>46</v>
      </c>
      <c r="C31" s="14">
        <v>12</v>
      </c>
      <c r="D31" s="14">
        <v>15</v>
      </c>
      <c r="E31" s="14">
        <v>18</v>
      </c>
      <c r="F31" s="14">
        <v>21</v>
      </c>
      <c r="G31" s="14">
        <v>24</v>
      </c>
      <c r="H31" s="14">
        <v>27</v>
      </c>
      <c r="I31" s="14">
        <v>29</v>
      </c>
      <c r="J31" s="15">
        <v>24</v>
      </c>
      <c r="K31" s="16">
        <v>29</v>
      </c>
      <c r="L31" s="17" t="s">
        <v>43</v>
      </c>
    </row>
    <row r="32" ht="20" customHeight="1" spans="1:12" x14ac:dyDescent="0.25">
      <c r="A32" s="12">
        <v>24</v>
      </c>
      <c r="B32" s="13" t="s">
        <v>47</v>
      </c>
      <c r="C32" s="14">
        <v>12</v>
      </c>
      <c r="D32" s="14">
        <v>15</v>
      </c>
      <c r="E32" s="14">
        <v>18</v>
      </c>
      <c r="F32" s="14">
        <v>21</v>
      </c>
      <c r="G32" s="14">
        <v>24</v>
      </c>
      <c r="H32" s="14">
        <v>27</v>
      </c>
      <c r="I32" s="14">
        <v>29</v>
      </c>
      <c r="J32" s="15">
        <v>24</v>
      </c>
      <c r="K32" s="16">
        <v>29</v>
      </c>
      <c r="L32" s="17" t="s">
        <v>43</v>
      </c>
    </row>
    <row r="33" ht="20" customHeight="1" spans="1:12" x14ac:dyDescent="0.25">
      <c r="A33" s="12">
        <v>25</v>
      </c>
      <c r="B33" s="13" t="s">
        <v>48</v>
      </c>
      <c r="C33" s="14">
        <v>12</v>
      </c>
      <c r="D33" s="14">
        <v>15</v>
      </c>
      <c r="E33" s="14">
        <v>18</v>
      </c>
      <c r="F33" s="14">
        <v>21</v>
      </c>
      <c r="G33" s="14">
        <v>24</v>
      </c>
      <c r="H33" s="14">
        <v>27</v>
      </c>
      <c r="I33" s="14">
        <v>29</v>
      </c>
      <c r="J33" s="15">
        <v>24</v>
      </c>
      <c r="K33" s="16">
        <v>29</v>
      </c>
      <c r="L33" s="17" t="s">
        <v>43</v>
      </c>
    </row>
    <row r="34" ht="20" customHeight="1" spans="1:12" x14ac:dyDescent="0.25">
      <c r="A34" s="12">
        <v>26</v>
      </c>
      <c r="B34" s="13" t="s">
        <v>49</v>
      </c>
      <c r="C34" s="14">
        <v>12</v>
      </c>
      <c r="D34" s="14">
        <v>15</v>
      </c>
      <c r="E34" s="14">
        <v>18</v>
      </c>
      <c r="F34" s="14">
        <v>21</v>
      </c>
      <c r="G34" s="14">
        <v>24</v>
      </c>
      <c r="H34" s="14">
        <v>27</v>
      </c>
      <c r="I34" s="14">
        <v>29</v>
      </c>
      <c r="J34" s="15">
        <v>24</v>
      </c>
      <c r="K34" s="16">
        <v>29</v>
      </c>
      <c r="L34" s="17" t="s">
        <v>43</v>
      </c>
    </row>
    <row r="35" ht="20" customHeight="1" spans="1:12" x14ac:dyDescent="0.25">
      <c r="A35" s="12">
        <v>27</v>
      </c>
      <c r="B35" s="13" t="s">
        <v>50</v>
      </c>
      <c r="C35" s="14">
        <v>4</v>
      </c>
      <c r="D35" s="14">
        <v>5</v>
      </c>
      <c r="E35" s="14">
        <v>6</v>
      </c>
      <c r="F35" s="14">
        <v>7</v>
      </c>
      <c r="G35" s="14">
        <v>8</v>
      </c>
      <c r="H35" s="14">
        <v>9</v>
      </c>
      <c r="I35" s="14">
        <v>10</v>
      </c>
      <c r="J35" s="15">
        <v>8</v>
      </c>
      <c r="K35" s="16">
        <v>10</v>
      </c>
      <c r="L35" s="17" t="s">
        <v>21</v>
      </c>
    </row>
    <row r="36" ht="24" customHeight="1" spans="1:11" x14ac:dyDescent="0.25">
      <c r="A36" s="18" t="s">
        <v>51</v>
      </c>
      <c r="B36" s="18"/>
      <c r="C36" s="18"/>
      <c r="D36" s="18"/>
      <c r="E36" s="18"/>
      <c r="F36" s="18"/>
      <c r="G36" s="18"/>
      <c r="H36" s="18"/>
      <c r="I36" s="18"/>
      <c r="J36" s="19">
        <f>SUM(J9:J35)</f>
      </c>
      <c r="K36" s="20">
        <f>SUM(K9:K35)</f>
      </c>
    </row>
    <row r="38" ht="24" customHeight="1" spans="1:12" x14ac:dyDescent="0.25">
      <c r="A38" s="21" t="s">
        <v>52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20" customHeight="1" spans="1:12" x14ac:dyDescent="0.25">
      <c r="A39" s="12">
        <v>1</v>
      </c>
      <c r="B39" s="22" t="s">
        <v>53</v>
      </c>
      <c r="C39" s="14">
        <v>8</v>
      </c>
      <c r="D39" s="14">
        <v>10</v>
      </c>
      <c r="E39" s="14">
        <v>12</v>
      </c>
      <c r="F39" s="14">
        <v>14</v>
      </c>
      <c r="G39" s="14">
        <v>16</v>
      </c>
      <c r="H39" s="14">
        <v>18</v>
      </c>
      <c r="I39" s="14">
        <v>19</v>
      </c>
      <c r="J39" s="23">
        <v>16</v>
      </c>
      <c r="K39" s="16">
        <v>19</v>
      </c>
      <c r="L39" s="17" t="s">
        <v>54</v>
      </c>
    </row>
    <row r="40" ht="20" customHeight="1" spans="1:12" x14ac:dyDescent="0.25">
      <c r="A40" s="12">
        <v>2</v>
      </c>
      <c r="B40" s="22" t="s">
        <v>55</v>
      </c>
      <c r="C40" s="14">
        <v>8</v>
      </c>
      <c r="D40" s="14">
        <v>10</v>
      </c>
      <c r="E40" s="14">
        <v>12</v>
      </c>
      <c r="F40" s="14">
        <v>14</v>
      </c>
      <c r="G40" s="14">
        <v>16</v>
      </c>
      <c r="H40" s="14">
        <v>18</v>
      </c>
      <c r="I40" s="14">
        <v>19</v>
      </c>
      <c r="J40" s="23">
        <v>16</v>
      </c>
      <c r="K40" s="16">
        <v>19</v>
      </c>
      <c r="L40" s="17" t="s">
        <v>54</v>
      </c>
    </row>
    <row r="41" ht="20" customHeight="1" spans="1:12" x14ac:dyDescent="0.25">
      <c r="A41" s="12">
        <v>3</v>
      </c>
      <c r="B41" s="22" t="s">
        <v>56</v>
      </c>
      <c r="C41" s="14">
        <v>8</v>
      </c>
      <c r="D41" s="14">
        <v>10</v>
      </c>
      <c r="E41" s="14">
        <v>12</v>
      </c>
      <c r="F41" s="14">
        <v>14</v>
      </c>
      <c r="G41" s="14">
        <v>16</v>
      </c>
      <c r="H41" s="14">
        <v>18</v>
      </c>
      <c r="I41" s="14">
        <v>19</v>
      </c>
      <c r="J41" s="23">
        <v>16</v>
      </c>
      <c r="K41" s="16">
        <v>19</v>
      </c>
      <c r="L41" s="17" t="s">
        <v>54</v>
      </c>
    </row>
    <row r="42" ht="20" customHeight="1" spans="1:12" x14ac:dyDescent="0.25">
      <c r="A42" s="12">
        <v>4</v>
      </c>
      <c r="B42" s="22" t="s">
        <v>57</v>
      </c>
      <c r="C42" s="14">
        <v>16</v>
      </c>
      <c r="D42" s="14">
        <v>18</v>
      </c>
      <c r="E42" s="14">
        <v>21</v>
      </c>
      <c r="F42" s="14">
        <v>23</v>
      </c>
      <c r="G42" s="14">
        <v>26</v>
      </c>
      <c r="H42" s="14">
        <v>27</v>
      </c>
      <c r="I42" s="14">
        <v>28</v>
      </c>
      <c r="J42" s="23">
        <v>26</v>
      </c>
      <c r="K42" s="16">
        <v>28</v>
      </c>
      <c r="L42" s="17" t="s">
        <v>58</v>
      </c>
    </row>
    <row r="43" ht="20" customHeight="1" spans="1:12" x14ac:dyDescent="0.25">
      <c r="A43" s="12">
        <v>5</v>
      </c>
      <c r="B43" s="22" t="s">
        <v>59</v>
      </c>
      <c r="C43" s="14">
        <v>8</v>
      </c>
      <c r="D43" s="14">
        <v>10</v>
      </c>
      <c r="E43" s="14">
        <v>12</v>
      </c>
      <c r="F43" s="14">
        <v>14</v>
      </c>
      <c r="G43" s="14">
        <v>16</v>
      </c>
      <c r="H43" s="14">
        <v>18</v>
      </c>
      <c r="I43" s="14">
        <v>19</v>
      </c>
      <c r="J43" s="23">
        <v>16</v>
      </c>
      <c r="K43" s="16">
        <v>19</v>
      </c>
      <c r="L43" s="17" t="s">
        <v>54</v>
      </c>
    </row>
    <row r="44" ht="24" customHeight="1" spans="1:11" x14ac:dyDescent="0.25">
      <c r="A44" s="18" t="s">
        <v>60</v>
      </c>
      <c r="B44" s="18"/>
      <c r="C44" s="18"/>
      <c r="D44" s="18"/>
      <c r="E44" s="18"/>
      <c r="F44" s="18"/>
      <c r="G44" s="18"/>
      <c r="H44" s="18"/>
      <c r="I44" s="18"/>
      <c r="J44" s="24">
        <f>SUM(J39:J43)</f>
      </c>
      <c r="K44" s="20">
        <f>SUM(K39:K43)</f>
      </c>
    </row>
    <row r="46" ht="28" customHeight="1" spans="1:11" x14ac:dyDescent="0.25">
      <c r="A46" s="25" t="s">
        <v>61</v>
      </c>
      <c r="B46" s="25"/>
      <c r="C46" s="25"/>
      <c r="D46" s="25"/>
      <c r="E46" s="25"/>
      <c r="F46" s="25"/>
      <c r="G46" s="25"/>
      <c r="H46" s="25"/>
      <c r="I46" s="25"/>
      <c r="J46" s="26">
        <f>J36+J44</f>
      </c>
      <c r="K46" s="27">
        <f>K36+K44</f>
      </c>
    </row>
  </sheetData>
  <mergeCells count="14">
    <mergeCell ref="A1:L1"/>
    <mergeCell ref="A2:L2"/>
    <mergeCell ref="A3:L3"/>
    <mergeCell ref="B5:D5"/>
    <mergeCell ref="G5:H5"/>
    <mergeCell ref="K5:L5"/>
    <mergeCell ref="C7:I7"/>
    <mergeCell ref="C8:D8"/>
    <mergeCell ref="E8:F8"/>
    <mergeCell ref="G8:H8"/>
    <mergeCell ref="A36:I36"/>
    <mergeCell ref="A38:L38"/>
    <mergeCell ref="A44:I44"/>
    <mergeCell ref="A46:I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9" width="5.5" customWidth="1"/>
    <col min="10" max="10" width="14" customWidth="1"/>
    <col min="11" max="11" width="12" customWidth="1"/>
    <col min="12" max="12" width="24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62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2" customHeight="1" spans="1:12" x14ac:dyDescent="0.25">
      <c r="A5" s="4" t="s">
        <v>3</v>
      </c>
      <c r="B5" t="s">
        <v>4</v>
      </c>
      <c r="C5"/>
      <c r="D5"/>
      <c r="F5" s="4" t="s">
        <v>5</v>
      </c>
      <c r="G5" s="5" t="s">
        <v>6</v>
      </c>
      <c r="H5" s="5"/>
      <c r="J5" s="4" t="s">
        <v>7</v>
      </c>
      <c r="K5" t="s">
        <v>4</v>
      </c>
      <c r="L5"/>
    </row>
    <row r="7" ht="28" customHeight="1" spans="1:12" x14ac:dyDescent="0.25">
      <c r="A7" s="6" t="s">
        <v>8</v>
      </c>
      <c r="B7" s="6" t="s">
        <v>9</v>
      </c>
      <c r="C7" s="6" t="s">
        <v>10</v>
      </c>
      <c r="D7" s="6"/>
      <c r="E7" s="6"/>
      <c r="F7" s="6"/>
      <c r="G7" s="6"/>
      <c r="H7" s="6"/>
      <c r="I7" s="6"/>
      <c r="J7" s="6" t="s">
        <v>11</v>
      </c>
      <c r="K7" s="6" t="s">
        <v>12</v>
      </c>
      <c r="L7" s="6" t="s">
        <v>13</v>
      </c>
    </row>
    <row r="8" ht="20" customHeight="1" spans="1:12" x14ac:dyDescent="0.25">
      <c r="A8" t="s">
        <v>14</v>
      </c>
      <c r="B8" t="s">
        <v>14</v>
      </c>
      <c r="C8" s="7" t="s">
        <v>15</v>
      </c>
      <c r="D8" s="7"/>
      <c r="E8" s="8" t="s">
        <v>16</v>
      </c>
      <c r="F8" s="8"/>
      <c r="G8" s="9" t="s">
        <v>17</v>
      </c>
      <c r="H8" s="9"/>
      <c r="I8" s="10" t="s">
        <v>18</v>
      </c>
      <c r="J8" s="11" t="s">
        <v>19</v>
      </c>
      <c r="K8" t="s">
        <v>14</v>
      </c>
      <c r="L8" t="s">
        <v>14</v>
      </c>
    </row>
    <row r="9" ht="20" customHeight="1" spans="1:12" x14ac:dyDescent="0.25">
      <c r="A9" s="12">
        <v>1</v>
      </c>
      <c r="B9" s="13" t="s">
        <v>20</v>
      </c>
      <c r="C9" s="14">
        <v>4</v>
      </c>
      <c r="D9" s="14">
        <v>5</v>
      </c>
      <c r="E9" s="14">
        <v>6</v>
      </c>
      <c r="F9" s="14">
        <v>7</v>
      </c>
      <c r="G9" s="14">
        <v>8</v>
      </c>
      <c r="H9" s="14">
        <v>9</v>
      </c>
      <c r="I9" s="14">
        <v>10</v>
      </c>
      <c r="J9" s="15">
        <v>8</v>
      </c>
      <c r="K9" s="16">
        <v>10</v>
      </c>
      <c r="L9" s="17" t="s">
        <v>21</v>
      </c>
    </row>
    <row r="10" ht="20" customHeight="1" spans="1:12" x14ac:dyDescent="0.25">
      <c r="A10" s="12">
        <v>2</v>
      </c>
      <c r="B10" s="13" t="s">
        <v>63</v>
      </c>
      <c r="C10" s="14">
        <v>13</v>
      </c>
      <c r="D10" s="14">
        <v>15</v>
      </c>
      <c r="E10" s="14">
        <v>17</v>
      </c>
      <c r="F10" s="14">
        <v>19</v>
      </c>
      <c r="G10" s="14">
        <v>21</v>
      </c>
      <c r="H10" s="14">
        <v>23</v>
      </c>
      <c r="I10" s="14">
        <v>24</v>
      </c>
      <c r="J10" s="15">
        <v>21</v>
      </c>
      <c r="K10" s="16">
        <v>24</v>
      </c>
      <c r="L10" s="17" t="s">
        <v>64</v>
      </c>
    </row>
    <row r="11" ht="20" customHeight="1" spans="1:12" x14ac:dyDescent="0.25">
      <c r="A11" s="12">
        <v>3</v>
      </c>
      <c r="B11" s="13" t="s">
        <v>65</v>
      </c>
      <c r="C11" s="14">
        <v>13</v>
      </c>
      <c r="D11" s="14">
        <v>15</v>
      </c>
      <c r="E11" s="14">
        <v>17</v>
      </c>
      <c r="F11" s="14">
        <v>19</v>
      </c>
      <c r="G11" s="14">
        <v>21</v>
      </c>
      <c r="H11" s="14">
        <v>23</v>
      </c>
      <c r="I11" s="14">
        <v>24</v>
      </c>
      <c r="J11" s="15">
        <v>21</v>
      </c>
      <c r="K11" s="16">
        <v>24</v>
      </c>
      <c r="L11" s="17" t="s">
        <v>64</v>
      </c>
    </row>
    <row r="12" ht="20" customHeight="1" spans="1:12" x14ac:dyDescent="0.25">
      <c r="A12" s="12">
        <v>4</v>
      </c>
      <c r="B12" s="13" t="s">
        <v>66</v>
      </c>
      <c r="C12" s="14">
        <v>12</v>
      </c>
      <c r="D12" s="14">
        <v>15</v>
      </c>
      <c r="E12" s="14">
        <v>18</v>
      </c>
      <c r="F12" s="14">
        <v>21</v>
      </c>
      <c r="G12" s="14">
        <v>24</v>
      </c>
      <c r="H12" s="14">
        <v>27</v>
      </c>
      <c r="I12" s="14">
        <v>29</v>
      </c>
      <c r="J12" s="15">
        <v>24</v>
      </c>
      <c r="K12" s="16">
        <v>29</v>
      </c>
      <c r="L12" s="17" t="s">
        <v>43</v>
      </c>
    </row>
    <row r="13" ht="20" customHeight="1" spans="1:12" x14ac:dyDescent="0.25">
      <c r="A13" s="12">
        <v>5</v>
      </c>
      <c r="B13" s="13" t="s">
        <v>67</v>
      </c>
      <c r="C13" s="14">
        <v>12</v>
      </c>
      <c r="D13" s="14">
        <v>15</v>
      </c>
      <c r="E13" s="14">
        <v>18</v>
      </c>
      <c r="F13" s="14">
        <v>21</v>
      </c>
      <c r="G13" s="14">
        <v>24</v>
      </c>
      <c r="H13" s="14">
        <v>27</v>
      </c>
      <c r="I13" s="14">
        <v>29</v>
      </c>
      <c r="J13" s="15">
        <v>24</v>
      </c>
      <c r="K13" s="16">
        <v>29</v>
      </c>
      <c r="L13" s="17" t="s">
        <v>43</v>
      </c>
    </row>
    <row r="14" ht="20" customHeight="1" spans="1:12" x14ac:dyDescent="0.25">
      <c r="A14" s="12">
        <v>6</v>
      </c>
      <c r="B14" s="13" t="s">
        <v>68</v>
      </c>
      <c r="C14" s="14">
        <v>12</v>
      </c>
      <c r="D14" s="14">
        <v>15</v>
      </c>
      <c r="E14" s="14">
        <v>18</v>
      </c>
      <c r="F14" s="14">
        <v>21</v>
      </c>
      <c r="G14" s="14">
        <v>24</v>
      </c>
      <c r="H14" s="14">
        <v>27</v>
      </c>
      <c r="I14" s="14">
        <v>29</v>
      </c>
      <c r="J14" s="15">
        <v>24</v>
      </c>
      <c r="K14" s="16">
        <v>29</v>
      </c>
      <c r="L14" s="17" t="s">
        <v>43</v>
      </c>
    </row>
    <row r="15" ht="20" customHeight="1" spans="1:12" x14ac:dyDescent="0.25">
      <c r="A15" s="12">
        <v>7</v>
      </c>
      <c r="B15" s="13" t="s">
        <v>69</v>
      </c>
      <c r="C15" s="14">
        <v>12</v>
      </c>
      <c r="D15" s="14">
        <v>15</v>
      </c>
      <c r="E15" s="14">
        <v>18</v>
      </c>
      <c r="F15" s="14">
        <v>21</v>
      </c>
      <c r="G15" s="14">
        <v>24</v>
      </c>
      <c r="H15" s="14">
        <v>27</v>
      </c>
      <c r="I15" s="14">
        <v>29</v>
      </c>
      <c r="J15" s="15">
        <v>24</v>
      </c>
      <c r="K15" s="16">
        <v>29</v>
      </c>
      <c r="L15" s="17" t="s">
        <v>43</v>
      </c>
    </row>
    <row r="16" ht="20" customHeight="1" spans="1:12" x14ac:dyDescent="0.25">
      <c r="A16" s="12">
        <v>8</v>
      </c>
      <c r="B16" s="13" t="s">
        <v>70</v>
      </c>
      <c r="C16" s="14">
        <v>12</v>
      </c>
      <c r="D16" s="14">
        <v>15</v>
      </c>
      <c r="E16" s="14">
        <v>18</v>
      </c>
      <c r="F16" s="14">
        <v>21</v>
      </c>
      <c r="G16" s="14">
        <v>24</v>
      </c>
      <c r="H16" s="14">
        <v>27</v>
      </c>
      <c r="I16" s="14">
        <v>29</v>
      </c>
      <c r="J16" s="15">
        <v>24</v>
      </c>
      <c r="K16" s="16">
        <v>29</v>
      </c>
      <c r="L16" s="17" t="s">
        <v>43</v>
      </c>
    </row>
    <row r="17" ht="20" customHeight="1" spans="1:12" x14ac:dyDescent="0.25">
      <c r="A17" s="12">
        <v>9</v>
      </c>
      <c r="B17" s="13" t="s">
        <v>71</v>
      </c>
      <c r="C17" s="14">
        <v>12</v>
      </c>
      <c r="D17" s="14">
        <v>15</v>
      </c>
      <c r="E17" s="14">
        <v>18</v>
      </c>
      <c r="F17" s="14">
        <v>21</v>
      </c>
      <c r="G17" s="14">
        <v>24</v>
      </c>
      <c r="H17" s="14">
        <v>27</v>
      </c>
      <c r="I17" s="14">
        <v>29</v>
      </c>
      <c r="J17" s="15">
        <v>24</v>
      </c>
      <c r="K17" s="16">
        <v>29</v>
      </c>
      <c r="L17" s="17" t="s">
        <v>43</v>
      </c>
    </row>
    <row r="18" ht="20" customHeight="1" spans="1:12" x14ac:dyDescent="0.25">
      <c r="A18" s="12">
        <v>10</v>
      </c>
      <c r="B18" s="13" t="s">
        <v>72</v>
      </c>
      <c r="C18" s="14">
        <v>12</v>
      </c>
      <c r="D18" s="14">
        <v>15</v>
      </c>
      <c r="E18" s="14">
        <v>18</v>
      </c>
      <c r="F18" s="14">
        <v>21</v>
      </c>
      <c r="G18" s="14">
        <v>24</v>
      </c>
      <c r="H18" s="14">
        <v>27</v>
      </c>
      <c r="I18" s="14">
        <v>29</v>
      </c>
      <c r="J18" s="15">
        <v>24</v>
      </c>
      <c r="K18" s="16">
        <v>29</v>
      </c>
      <c r="L18" s="17" t="s">
        <v>43</v>
      </c>
    </row>
    <row r="19" ht="20" customHeight="1" spans="1:12" x14ac:dyDescent="0.25">
      <c r="A19" s="12">
        <v>11</v>
      </c>
      <c r="B19" s="13" t="s">
        <v>73</v>
      </c>
      <c r="C19" s="14">
        <v>12</v>
      </c>
      <c r="D19" s="14">
        <v>15</v>
      </c>
      <c r="E19" s="14">
        <v>18</v>
      </c>
      <c r="F19" s="14">
        <v>21</v>
      </c>
      <c r="G19" s="14">
        <v>24</v>
      </c>
      <c r="H19" s="14">
        <v>27</v>
      </c>
      <c r="I19" s="14">
        <v>29</v>
      </c>
      <c r="J19" s="15">
        <v>24</v>
      </c>
      <c r="K19" s="16">
        <v>29</v>
      </c>
      <c r="L19" s="17" t="s">
        <v>43</v>
      </c>
    </row>
    <row r="20" ht="20" customHeight="1" spans="1:12" x14ac:dyDescent="0.25">
      <c r="A20" s="12">
        <v>12</v>
      </c>
      <c r="B20" s="13" t="s">
        <v>74</v>
      </c>
      <c r="C20" s="14">
        <v>12</v>
      </c>
      <c r="D20" s="14">
        <v>15</v>
      </c>
      <c r="E20" s="14">
        <v>18</v>
      </c>
      <c r="F20" s="14">
        <v>21</v>
      </c>
      <c r="G20" s="14">
        <v>24</v>
      </c>
      <c r="H20" s="14">
        <v>27</v>
      </c>
      <c r="I20" s="14">
        <v>29</v>
      </c>
      <c r="J20" s="15">
        <v>24</v>
      </c>
      <c r="K20" s="16">
        <v>29</v>
      </c>
      <c r="L20" s="17" t="s">
        <v>43</v>
      </c>
    </row>
    <row r="21" ht="20" customHeight="1" spans="1:12" x14ac:dyDescent="0.25">
      <c r="A21" s="12">
        <v>13</v>
      </c>
      <c r="B21" s="13" t="s">
        <v>75</v>
      </c>
      <c r="C21" s="14">
        <v>12</v>
      </c>
      <c r="D21" s="14">
        <v>15</v>
      </c>
      <c r="E21" s="14">
        <v>18</v>
      </c>
      <c r="F21" s="14">
        <v>21</v>
      </c>
      <c r="G21" s="14">
        <v>24</v>
      </c>
      <c r="H21" s="14">
        <v>27</v>
      </c>
      <c r="I21" s="14">
        <v>29</v>
      </c>
      <c r="J21" s="15">
        <v>24</v>
      </c>
      <c r="K21" s="16">
        <v>29</v>
      </c>
      <c r="L21" s="17" t="s">
        <v>43</v>
      </c>
    </row>
    <row r="22" ht="20" customHeight="1" spans="1:12" x14ac:dyDescent="0.25">
      <c r="A22" s="12">
        <v>14</v>
      </c>
      <c r="B22" s="13" t="s">
        <v>76</v>
      </c>
      <c r="C22" s="14">
        <v>10</v>
      </c>
      <c r="D22" s="14">
        <v>13</v>
      </c>
      <c r="E22" s="14">
        <v>16</v>
      </c>
      <c r="F22" s="14">
        <v>19</v>
      </c>
      <c r="G22" s="14">
        <v>22</v>
      </c>
      <c r="H22" s="14">
        <v>25</v>
      </c>
      <c r="I22" s="14">
        <v>27</v>
      </c>
      <c r="J22" s="15">
        <v>22</v>
      </c>
      <c r="K22" s="16">
        <v>27</v>
      </c>
      <c r="L22" s="17" t="s">
        <v>45</v>
      </c>
    </row>
    <row r="23" ht="20" customHeight="1" spans="1:12" x14ac:dyDescent="0.25">
      <c r="A23" s="12">
        <v>15</v>
      </c>
      <c r="B23" s="13" t="s">
        <v>77</v>
      </c>
      <c r="C23" s="14">
        <v>8</v>
      </c>
      <c r="D23" s="14">
        <v>10</v>
      </c>
      <c r="E23" s="14">
        <v>12</v>
      </c>
      <c r="F23" s="14">
        <v>14</v>
      </c>
      <c r="G23" s="14">
        <v>16</v>
      </c>
      <c r="H23" s="14">
        <v>18</v>
      </c>
      <c r="I23" s="14">
        <v>19</v>
      </c>
      <c r="J23" s="15">
        <v>16</v>
      </c>
      <c r="K23" s="16">
        <v>19</v>
      </c>
      <c r="L23" s="17" t="s">
        <v>38</v>
      </c>
    </row>
    <row r="24" ht="20" customHeight="1" spans="1:12" x14ac:dyDescent="0.25">
      <c r="A24" s="12">
        <v>16</v>
      </c>
      <c r="B24" s="13" t="s">
        <v>78</v>
      </c>
      <c r="C24" s="14">
        <v>4</v>
      </c>
      <c r="D24" s="14">
        <v>5</v>
      </c>
      <c r="E24" s="14">
        <v>6</v>
      </c>
      <c r="F24" s="14">
        <v>7</v>
      </c>
      <c r="G24" s="14">
        <v>8</v>
      </c>
      <c r="H24" s="14">
        <v>9</v>
      </c>
      <c r="I24" s="14">
        <v>10</v>
      </c>
      <c r="J24" s="15">
        <v>8</v>
      </c>
      <c r="K24" s="16">
        <v>10</v>
      </c>
      <c r="L24" s="17" t="s">
        <v>21</v>
      </c>
    </row>
    <row r="25" ht="20" customHeight="1" spans="1:12" x14ac:dyDescent="0.25">
      <c r="A25" s="12">
        <v>17</v>
      </c>
      <c r="B25" s="13" t="s">
        <v>79</v>
      </c>
      <c r="C25" s="14">
        <v>13</v>
      </c>
      <c r="D25" s="14">
        <v>15</v>
      </c>
      <c r="E25" s="14">
        <v>17</v>
      </c>
      <c r="F25" s="14">
        <v>19</v>
      </c>
      <c r="G25" s="14">
        <v>21</v>
      </c>
      <c r="H25" s="14">
        <v>23</v>
      </c>
      <c r="I25" s="14">
        <v>24</v>
      </c>
      <c r="J25" s="15">
        <v>21</v>
      </c>
      <c r="K25" s="16">
        <v>24</v>
      </c>
      <c r="L25" s="17" t="s">
        <v>64</v>
      </c>
    </row>
    <row r="26" ht="20" customHeight="1" spans="1:12" x14ac:dyDescent="0.25">
      <c r="A26" s="12">
        <v>18</v>
      </c>
      <c r="B26" s="13" t="s">
        <v>80</v>
      </c>
      <c r="C26" s="14">
        <v>8</v>
      </c>
      <c r="D26" s="14">
        <v>10</v>
      </c>
      <c r="E26" s="14">
        <v>12</v>
      </c>
      <c r="F26" s="14">
        <v>14</v>
      </c>
      <c r="G26" s="14">
        <v>16</v>
      </c>
      <c r="H26" s="14">
        <v>18</v>
      </c>
      <c r="I26" s="14">
        <v>19</v>
      </c>
      <c r="J26" s="15">
        <v>16</v>
      </c>
      <c r="K26" s="16">
        <v>19</v>
      </c>
      <c r="L26" s="17" t="s">
        <v>38</v>
      </c>
    </row>
    <row r="27" ht="20" customHeight="1" spans="1:12" x14ac:dyDescent="0.25">
      <c r="A27" s="12">
        <v>19</v>
      </c>
      <c r="B27" s="13" t="s">
        <v>81</v>
      </c>
      <c r="C27" s="14">
        <v>8</v>
      </c>
      <c r="D27" s="14">
        <v>10</v>
      </c>
      <c r="E27" s="14">
        <v>12</v>
      </c>
      <c r="F27" s="14">
        <v>14</v>
      </c>
      <c r="G27" s="14">
        <v>16</v>
      </c>
      <c r="H27" s="14">
        <v>18</v>
      </c>
      <c r="I27" s="14">
        <v>19</v>
      </c>
      <c r="J27" s="15">
        <v>16</v>
      </c>
      <c r="K27" s="16">
        <v>19</v>
      </c>
      <c r="L27" s="17" t="s">
        <v>38</v>
      </c>
    </row>
    <row r="28" ht="20" customHeight="1" spans="1:12" x14ac:dyDescent="0.25">
      <c r="A28" s="12">
        <v>20</v>
      </c>
      <c r="B28" s="13" t="s">
        <v>82</v>
      </c>
      <c r="C28" s="14">
        <v>4</v>
      </c>
      <c r="D28" s="14">
        <v>5</v>
      </c>
      <c r="E28" s="14">
        <v>6</v>
      </c>
      <c r="F28" s="14">
        <v>7</v>
      </c>
      <c r="G28" s="14">
        <v>8</v>
      </c>
      <c r="H28" s="14">
        <v>9</v>
      </c>
      <c r="I28" s="14">
        <v>10</v>
      </c>
      <c r="J28" s="15">
        <v>8</v>
      </c>
      <c r="K28" s="16">
        <v>10</v>
      </c>
      <c r="L28" s="17" t="s">
        <v>21</v>
      </c>
    </row>
    <row r="29" ht="20" customHeight="1" spans="1:12" x14ac:dyDescent="0.25">
      <c r="A29" s="12">
        <v>21</v>
      </c>
      <c r="B29" s="13" t="s">
        <v>31</v>
      </c>
      <c r="C29" s="14">
        <v>4</v>
      </c>
      <c r="D29" s="14">
        <v>5</v>
      </c>
      <c r="E29" s="14">
        <v>6</v>
      </c>
      <c r="F29" s="14">
        <v>7</v>
      </c>
      <c r="G29" s="14">
        <v>8</v>
      </c>
      <c r="H29" s="14">
        <v>9</v>
      </c>
      <c r="I29" s="14">
        <v>10</v>
      </c>
      <c r="J29" s="15">
        <v>8</v>
      </c>
      <c r="K29" s="16">
        <v>10</v>
      </c>
      <c r="L29" s="17" t="s">
        <v>21</v>
      </c>
    </row>
    <row r="30" ht="20" customHeight="1" spans="1:12" x14ac:dyDescent="0.25">
      <c r="A30" s="12">
        <v>22</v>
      </c>
      <c r="B30" s="13" t="s">
        <v>83</v>
      </c>
      <c r="C30" s="14">
        <v>4</v>
      </c>
      <c r="D30" s="14">
        <v>5</v>
      </c>
      <c r="E30" s="14">
        <v>6</v>
      </c>
      <c r="F30" s="14">
        <v>7</v>
      </c>
      <c r="G30" s="14">
        <v>8</v>
      </c>
      <c r="H30" s="14">
        <v>9</v>
      </c>
      <c r="I30" s="14">
        <v>10</v>
      </c>
      <c r="J30" s="15">
        <v>8</v>
      </c>
      <c r="K30" s="16">
        <v>10</v>
      </c>
      <c r="L30" s="17" t="s">
        <v>21</v>
      </c>
    </row>
    <row r="31" ht="20" customHeight="1" spans="1:12" x14ac:dyDescent="0.25">
      <c r="A31" s="12">
        <v>23</v>
      </c>
      <c r="B31" s="13" t="s">
        <v>84</v>
      </c>
      <c r="C31" s="14">
        <v>4</v>
      </c>
      <c r="D31" s="14">
        <v>5</v>
      </c>
      <c r="E31" s="14">
        <v>6</v>
      </c>
      <c r="F31" s="14">
        <v>7</v>
      </c>
      <c r="G31" s="14">
        <v>8</v>
      </c>
      <c r="H31" s="14">
        <v>9</v>
      </c>
      <c r="I31" s="14">
        <v>10</v>
      </c>
      <c r="J31" s="15">
        <v>8</v>
      </c>
      <c r="K31" s="16">
        <v>10</v>
      </c>
      <c r="L31" s="17" t="s">
        <v>21</v>
      </c>
    </row>
    <row r="32" ht="20" customHeight="1" spans="1:12" x14ac:dyDescent="0.25">
      <c r="A32" s="12">
        <v>24</v>
      </c>
      <c r="B32" s="13" t="s">
        <v>85</v>
      </c>
      <c r="C32" s="14">
        <v>12</v>
      </c>
      <c r="D32" s="14">
        <v>15</v>
      </c>
      <c r="E32" s="14">
        <v>18</v>
      </c>
      <c r="F32" s="14">
        <v>21</v>
      </c>
      <c r="G32" s="14">
        <v>24</v>
      </c>
      <c r="H32" s="14">
        <v>27</v>
      </c>
      <c r="I32" s="14">
        <v>30</v>
      </c>
      <c r="J32" s="15">
        <v>24</v>
      </c>
      <c r="K32" s="16">
        <v>30</v>
      </c>
      <c r="L32" s="17" t="s">
        <v>24</v>
      </c>
    </row>
    <row r="33" ht="20" customHeight="1" spans="1:12" x14ac:dyDescent="0.25">
      <c r="A33" s="12">
        <v>25</v>
      </c>
      <c r="B33" s="13" t="s">
        <v>50</v>
      </c>
      <c r="C33" s="14">
        <v>4</v>
      </c>
      <c r="D33" s="14">
        <v>5</v>
      </c>
      <c r="E33" s="14">
        <v>6</v>
      </c>
      <c r="F33" s="14">
        <v>7</v>
      </c>
      <c r="G33" s="14">
        <v>8</v>
      </c>
      <c r="H33" s="14">
        <v>9</v>
      </c>
      <c r="I33" s="14">
        <v>10</v>
      </c>
      <c r="J33" s="15">
        <v>8</v>
      </c>
      <c r="K33" s="16">
        <v>10</v>
      </c>
      <c r="L33" s="17" t="s">
        <v>21</v>
      </c>
    </row>
    <row r="34" ht="24" customHeight="1" spans="1:11" x14ac:dyDescent="0.25">
      <c r="A34" s="18" t="s">
        <v>51</v>
      </c>
      <c r="B34" s="18"/>
      <c r="C34" s="18"/>
      <c r="D34" s="18"/>
      <c r="E34" s="18"/>
      <c r="F34" s="18"/>
      <c r="G34" s="18"/>
      <c r="H34" s="18"/>
      <c r="I34" s="18"/>
      <c r="J34" s="19">
        <f>SUM(J9:J33)</f>
      </c>
      <c r="K34" s="20">
        <f>SUM(K9:K33)</f>
      </c>
    </row>
    <row r="36" ht="24" customHeight="1" spans="1:12" x14ac:dyDescent="0.25">
      <c r="A36" s="21" t="s">
        <v>52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ht="20" customHeight="1" spans="1:12" x14ac:dyDescent="0.25">
      <c r="A37" s="12">
        <v>1</v>
      </c>
      <c r="B37" s="22" t="s">
        <v>53</v>
      </c>
      <c r="C37" s="14">
        <v>8</v>
      </c>
      <c r="D37" s="14">
        <v>10</v>
      </c>
      <c r="E37" s="14">
        <v>12</v>
      </c>
      <c r="F37" s="14">
        <v>14</v>
      </c>
      <c r="G37" s="14">
        <v>16</v>
      </c>
      <c r="H37" s="14">
        <v>18</v>
      </c>
      <c r="I37" s="14">
        <v>19</v>
      </c>
      <c r="J37" s="23">
        <v>16</v>
      </c>
      <c r="K37" s="16">
        <v>19</v>
      </c>
      <c r="L37" s="17" t="s">
        <v>54</v>
      </c>
    </row>
    <row r="38" ht="20" customHeight="1" spans="1:12" x14ac:dyDescent="0.25">
      <c r="A38" s="12">
        <v>2</v>
      </c>
      <c r="B38" s="22" t="s">
        <v>55</v>
      </c>
      <c r="C38" s="14">
        <v>8</v>
      </c>
      <c r="D38" s="14">
        <v>10</v>
      </c>
      <c r="E38" s="14">
        <v>12</v>
      </c>
      <c r="F38" s="14">
        <v>14</v>
      </c>
      <c r="G38" s="14">
        <v>16</v>
      </c>
      <c r="H38" s="14">
        <v>18</v>
      </c>
      <c r="I38" s="14">
        <v>19</v>
      </c>
      <c r="J38" s="23">
        <v>16</v>
      </c>
      <c r="K38" s="16">
        <v>19</v>
      </c>
      <c r="L38" s="17" t="s">
        <v>54</v>
      </c>
    </row>
    <row r="39" ht="20" customHeight="1" spans="1:12" x14ac:dyDescent="0.25">
      <c r="A39" s="12">
        <v>3</v>
      </c>
      <c r="B39" s="22" t="s">
        <v>56</v>
      </c>
      <c r="C39" s="14">
        <v>8</v>
      </c>
      <c r="D39" s="14">
        <v>10</v>
      </c>
      <c r="E39" s="14">
        <v>12</v>
      </c>
      <c r="F39" s="14">
        <v>14</v>
      </c>
      <c r="G39" s="14">
        <v>16</v>
      </c>
      <c r="H39" s="14">
        <v>18</v>
      </c>
      <c r="I39" s="14">
        <v>19</v>
      </c>
      <c r="J39" s="23">
        <v>16</v>
      </c>
      <c r="K39" s="16">
        <v>19</v>
      </c>
      <c r="L39" s="17" t="s">
        <v>54</v>
      </c>
    </row>
    <row r="40" ht="20" customHeight="1" spans="1:12" x14ac:dyDescent="0.25">
      <c r="A40" s="12">
        <v>4</v>
      </c>
      <c r="B40" s="22" t="s">
        <v>57</v>
      </c>
      <c r="C40" s="14">
        <v>16</v>
      </c>
      <c r="D40" s="14">
        <v>18</v>
      </c>
      <c r="E40" s="14">
        <v>21</v>
      </c>
      <c r="F40" s="14">
        <v>23</v>
      </c>
      <c r="G40" s="14">
        <v>26</v>
      </c>
      <c r="H40" s="14">
        <v>27</v>
      </c>
      <c r="I40" s="14">
        <v>28</v>
      </c>
      <c r="J40" s="23">
        <v>26</v>
      </c>
      <c r="K40" s="16">
        <v>28</v>
      </c>
      <c r="L40" s="17" t="s">
        <v>58</v>
      </c>
    </row>
    <row r="41" ht="20" customHeight="1" spans="1:12" x14ac:dyDescent="0.25">
      <c r="A41" s="12">
        <v>5</v>
      </c>
      <c r="B41" s="22" t="s">
        <v>59</v>
      </c>
      <c r="C41" s="14">
        <v>8</v>
      </c>
      <c r="D41" s="14">
        <v>10</v>
      </c>
      <c r="E41" s="14">
        <v>12</v>
      </c>
      <c r="F41" s="14">
        <v>14</v>
      </c>
      <c r="G41" s="14">
        <v>16</v>
      </c>
      <c r="H41" s="14">
        <v>18</v>
      </c>
      <c r="I41" s="14">
        <v>19</v>
      </c>
      <c r="J41" s="23">
        <v>16</v>
      </c>
      <c r="K41" s="16">
        <v>19</v>
      </c>
      <c r="L41" s="17" t="s">
        <v>54</v>
      </c>
    </row>
    <row r="42" ht="24" customHeight="1" spans="1:11" x14ac:dyDescent="0.25">
      <c r="A42" s="18" t="s">
        <v>60</v>
      </c>
      <c r="B42" s="18"/>
      <c r="C42" s="18"/>
      <c r="D42" s="18"/>
      <c r="E42" s="18"/>
      <c r="F42" s="18"/>
      <c r="G42" s="18"/>
      <c r="H42" s="18"/>
      <c r="I42" s="18"/>
      <c r="J42" s="24">
        <f>SUM(J37:J41)</f>
      </c>
      <c r="K42" s="20">
        <f>SUM(K37:K41)</f>
      </c>
    </row>
    <row r="44" ht="28" customHeight="1" spans="1:11" x14ac:dyDescent="0.25">
      <c r="A44" s="25" t="s">
        <v>61</v>
      </c>
      <c r="B44" s="25"/>
      <c r="C44" s="25"/>
      <c r="D44" s="25"/>
      <c r="E44" s="25"/>
      <c r="F44" s="25"/>
      <c r="G44" s="25"/>
      <c r="H44" s="25"/>
      <c r="I44" s="25"/>
      <c r="J44" s="26">
        <f>J34+J42</f>
      </c>
      <c r="K44" s="27">
        <f>K34+K42</f>
      </c>
    </row>
  </sheetData>
  <mergeCells count="14">
    <mergeCell ref="A1:L1"/>
    <mergeCell ref="A2:L2"/>
    <mergeCell ref="A3:L3"/>
    <mergeCell ref="B5:D5"/>
    <mergeCell ref="G5:H5"/>
    <mergeCell ref="K5:L5"/>
    <mergeCell ref="C7:I7"/>
    <mergeCell ref="C8:D8"/>
    <mergeCell ref="E8:F8"/>
    <mergeCell ref="G8:H8"/>
    <mergeCell ref="A34:I34"/>
    <mergeCell ref="A36:L36"/>
    <mergeCell ref="A42:I42"/>
    <mergeCell ref="A44:I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6" width="16" customWidth="1"/>
    <col min="7" max="7" width="14" customWidth="1"/>
    <col min="8" max="8" width="16" customWidth="1"/>
    <col min="9" max="9" width="18" customWidth="1"/>
  </cols>
  <sheetData>
    <row r="1" spans="1:9" x14ac:dyDescent="0.25">
      <c r="A1" s="28" t="s">
        <v>86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9" t="s">
        <v>87</v>
      </c>
      <c r="B2" s="29"/>
      <c r="C2" s="29"/>
      <c r="D2" s="29"/>
      <c r="E2" s="29"/>
      <c r="F2" s="29"/>
      <c r="G2" s="29"/>
      <c r="H2" s="29"/>
      <c r="I2" s="29"/>
    </row>
    <row r="4" ht="26" customHeight="1" spans="1:9" x14ac:dyDescent="0.25">
      <c r="A4" s="30" t="s">
        <v>88</v>
      </c>
      <c r="B4" s="30" t="s">
        <v>89</v>
      </c>
      <c r="C4" s="30" t="s">
        <v>90</v>
      </c>
      <c r="D4" s="30" t="s">
        <v>91</v>
      </c>
      <c r="E4" s="30" t="s">
        <v>92</v>
      </c>
      <c r="F4" s="30" t="s">
        <v>93</v>
      </c>
      <c r="G4" s="30" t="s">
        <v>94</v>
      </c>
      <c r="H4" s="30" t="s">
        <v>95</v>
      </c>
      <c r="I4" s="30" t="s">
        <v>96</v>
      </c>
    </row>
    <row r="5" ht="20" customHeight="1" spans="1:9" x14ac:dyDescent="0.25">
      <c r="A5" s="12">
        <v>1</v>
      </c>
      <c r="B5" s="12" t="s">
        <v>97</v>
      </c>
      <c r="C5" s="13" t="s">
        <v>98</v>
      </c>
      <c r="D5" s="12" t="s">
        <v>99</v>
      </c>
      <c r="E5" s="12">
        <v>355</v>
      </c>
      <c r="F5" s="12">
        <v>81</v>
      </c>
      <c r="G5" s="12">
        <v>0</v>
      </c>
      <c r="H5" s="31">
        <f>E5+F5-G5</f>
      </c>
      <c r="I5" s="12" t="s">
        <v>100</v>
      </c>
    </row>
    <row r="6" ht="20" customHeight="1" spans="1:9" x14ac:dyDescent="0.25">
      <c r="A6" s="12">
        <v>2</v>
      </c>
      <c r="B6" s="12" t="s">
        <v>101</v>
      </c>
      <c r="C6" s="13" t="s">
        <v>102</v>
      </c>
      <c r="D6" s="12" t="s">
        <v>103</v>
      </c>
      <c r="E6" s="12">
        <v>360</v>
      </c>
      <c r="F6" s="12">
        <v>82</v>
      </c>
      <c r="G6" s="12">
        <v>0</v>
      </c>
      <c r="H6" s="31">
        <f>E6+F6-G6</f>
      </c>
      <c r="I6" s="12" t="s">
        <v>104</v>
      </c>
    </row>
    <row r="7" ht="20" customHeight="1" spans="1:9" x14ac:dyDescent="0.25">
      <c r="A7" s="12">
        <v>3</v>
      </c>
      <c r="B7" s="12" t="s">
        <v>105</v>
      </c>
      <c r="C7" s="13" t="s">
        <v>106</v>
      </c>
      <c r="D7" s="12" t="s">
        <v>99</v>
      </c>
      <c r="E7" s="12">
        <v>365</v>
      </c>
      <c r="F7" s="12">
        <v>83</v>
      </c>
      <c r="G7" s="12">
        <v>0</v>
      </c>
      <c r="H7" s="31">
        <f>E7+F7-G7</f>
      </c>
      <c r="I7" s="12" t="s">
        <v>107</v>
      </c>
    </row>
    <row r="8" ht="20" customHeight="1" spans="1:9" x14ac:dyDescent="0.25">
      <c r="A8" s="12">
        <v>4</v>
      </c>
      <c r="B8" s="12" t="s">
        <v>108</v>
      </c>
      <c r="C8" s="13" t="s">
        <v>109</v>
      </c>
      <c r="D8" s="12" t="s">
        <v>103</v>
      </c>
      <c r="E8" s="12">
        <v>370</v>
      </c>
      <c r="F8" s="12">
        <v>84</v>
      </c>
      <c r="G8" s="12">
        <v>0</v>
      </c>
      <c r="H8" s="31">
        <f>E8+F8-G8</f>
      </c>
      <c r="I8" s="12" t="s">
        <v>110</v>
      </c>
    </row>
    <row r="9" ht="20" customHeight="1" spans="1:9" x14ac:dyDescent="0.25">
      <c r="A9" s="12">
        <v>5</v>
      </c>
      <c r="B9" s="12" t="s">
        <v>111</v>
      </c>
      <c r="C9" s="13" t="s">
        <v>112</v>
      </c>
      <c r="D9" s="12" t="s">
        <v>99</v>
      </c>
      <c r="E9" s="12">
        <v>375</v>
      </c>
      <c r="F9" s="12">
        <v>85</v>
      </c>
      <c r="G9" s="12">
        <v>0</v>
      </c>
      <c r="H9" s="31">
        <f>E9+F9-G9</f>
      </c>
      <c r="I9" s="12" t="s">
        <v>110</v>
      </c>
    </row>
    <row r="10" ht="20" customHeight="1" spans="1:9" x14ac:dyDescent="0.25">
      <c r="A10" s="12">
        <v>6</v>
      </c>
      <c r="B10" s="12" t="s">
        <v>113</v>
      </c>
      <c r="C10" s="13" t="s">
        <v>114</v>
      </c>
      <c r="D10" s="12" t="s">
        <v>103</v>
      </c>
      <c r="E10" s="12">
        <v>380</v>
      </c>
      <c r="F10" s="12">
        <v>86</v>
      </c>
      <c r="G10" s="12">
        <v>0</v>
      </c>
      <c r="H10" s="31">
        <f>E10+F10-G10</f>
      </c>
      <c r="I10" s="12" t="s">
        <v>110</v>
      </c>
    </row>
    <row r="11" ht="20" customHeight="1" spans="1:9" x14ac:dyDescent="0.25">
      <c r="A11" s="12">
        <v>7</v>
      </c>
      <c r="B11" s="12" t="s">
        <v>115</v>
      </c>
      <c r="C11" s="13" t="s">
        <v>116</v>
      </c>
      <c r="D11" s="12" t="s">
        <v>99</v>
      </c>
      <c r="E11" s="12">
        <v>385</v>
      </c>
      <c r="F11" s="12">
        <v>87</v>
      </c>
      <c r="G11" s="12">
        <v>0</v>
      </c>
      <c r="H11" s="31">
        <f>E11+F11-G11</f>
      </c>
      <c r="I11" s="12" t="s">
        <v>110</v>
      </c>
    </row>
    <row r="12" ht="20" customHeight="1" spans="1:9" x14ac:dyDescent="0.25">
      <c r="A12" s="12">
        <v>8</v>
      </c>
      <c r="B12" s="12" t="s">
        <v>117</v>
      </c>
      <c r="C12" s="13" t="s">
        <v>118</v>
      </c>
      <c r="D12" s="12" t="s">
        <v>103</v>
      </c>
      <c r="E12" s="12">
        <v>390</v>
      </c>
      <c r="F12" s="12">
        <v>88</v>
      </c>
      <c r="G12" s="12">
        <v>0</v>
      </c>
      <c r="H12" s="31">
        <f>E12+F12-G12</f>
      </c>
      <c r="I12" s="12" t="s">
        <v>110</v>
      </c>
    </row>
    <row r="13" ht="20" customHeight="1" spans="1:9" x14ac:dyDescent="0.25">
      <c r="A13" s="12">
        <v>9</v>
      </c>
      <c r="B13" s="12" t="s">
        <v>119</v>
      </c>
      <c r="C13" s="13" t="s">
        <v>120</v>
      </c>
      <c r="D13" s="12" t="s">
        <v>99</v>
      </c>
      <c r="E13" s="12">
        <v>395</v>
      </c>
      <c r="F13" s="12">
        <v>89</v>
      </c>
      <c r="G13" s="12">
        <v>0</v>
      </c>
      <c r="H13" s="31">
        <f>E13+F13-G13</f>
      </c>
      <c r="I13" s="12" t="s">
        <v>110</v>
      </c>
    </row>
    <row r="14" ht="20" customHeight="1" spans="1:9" x14ac:dyDescent="0.25">
      <c r="A14" s="12">
        <v>10</v>
      </c>
      <c r="B14" s="12" t="s">
        <v>121</v>
      </c>
      <c r="C14" s="13" t="s">
        <v>122</v>
      </c>
      <c r="D14" s="12" t="s">
        <v>103</v>
      </c>
      <c r="E14" s="12">
        <v>400</v>
      </c>
      <c r="F14" s="12">
        <v>90</v>
      </c>
      <c r="G14" s="12">
        <v>0</v>
      </c>
      <c r="H14" s="31">
        <f>E14+F14-G14</f>
      </c>
      <c r="I14" s="12" t="s">
        <v>110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Penilaian SD-MI</vt:lpstr>
      <vt:lpstr>Penilaian SMP-MTs</vt:lpstr>
      <vt:lpstr>Rekapitulasi Juara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Panitia LBB Mu'allimin 2027</dc:creator>
  <dc:title/>
  <dc:subject/>
  <dc:description/>
  <cp:keywords/>
  <cp:category/>
  <cp:lastModifiedBy>Dewan Juri LBB Mu'allimin</cp:lastModifiedBy>
  <dcterms:created xsi:type="dcterms:W3CDTF">2026-09-19T01:24:17Z</dcterms:created>
  <dcterms:modified xsi:type="dcterms:W3CDTF">2026-09-19T01:24:17Z</dcterms:modified>
</cp:coreProperties>
</file>